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5" sheetId="2" r:id="rId6"/>
    <sheet state="visible" name="Sheet4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tc={4ba814b1-4d49-46b4-8686-db18f19d5707}</author>
    <author>tc={b5467614-1a1f-4917-9b79-80637deb0dc8}</author>
  </authors>
  <commentList>
    <comment authorId="0" xr:uid="{4ba814b1-4d49-46b4-8686-db18f19d5707}" ref="L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@sharad@superleap.com: Add this filter in section 1 and 2 filter section
Assigned to sharad@superleap.com
</t>
      </text>
    </comment>
    <comment authorId="1" xr:uid="{b5467614-1a1f-4917-9b79-80637deb0dc8}" ref="O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@sharad@superleap.com
Assigned to sharad@superleap.com
</t>
      </text>
    </comment>
  </commentList>
</comments>
</file>

<file path=xl/sharedStrings.xml><?xml version="1.0" encoding="utf-8"?>
<sst xmlns="http://schemas.openxmlformats.org/spreadsheetml/2006/main" count="304" uniqueCount="203">
  <si>
    <t>Section 1</t>
  </si>
  <si>
    <t>Filter (Section 1 and 2)</t>
  </si>
  <si>
    <t>Lead Owner RD</t>
  </si>
  <si>
    <t>Lead Owner RSGH</t>
  </si>
  <si>
    <t>Lead Owner Branch</t>
  </si>
  <si>
    <t>Lead Owner TL/Manager</t>
  </si>
  <si>
    <t>Lead Owner</t>
  </si>
  <si>
    <t>Data Modified At ----&gt; Today/ Yesterday / Last 7 Days/ Last 30 Days/ All Time</t>
  </si>
  <si>
    <t>School</t>
  </si>
  <si>
    <t>Class Studying In</t>
  </si>
  <si>
    <t xml:space="preserve">Qualified Status </t>
  </si>
  <si>
    <t>X</t>
  </si>
  <si>
    <t>Visit Done Status</t>
  </si>
  <si>
    <t>User Table -----&gt; Team Dept Head</t>
  </si>
  <si>
    <t>User Table -----&gt; Team Sales Head</t>
  </si>
  <si>
    <t>User Table -----&gt; User Branch Name</t>
  </si>
  <si>
    <t>User Table -----&gt; Team Supervisor</t>
  </si>
  <si>
    <t>User Table -----&gt; Lead Owner</t>
  </si>
  <si>
    <t>Lead ---&gt; Created At
Scholarship ----&gt; Created At
Product ----&gt; Created At
Call Disposition ----&gt; Created At
Call Log ----&gt; Created At
Scholarship ---&gt; Result----&gt; Created At
Call Back Date</t>
  </si>
  <si>
    <t>School Name Object (Lead)</t>
  </si>
  <si>
    <t>Class Studying In (Lead)</t>
  </si>
  <si>
    <t>Today</t>
  </si>
  <si>
    <t>By Default All Time</t>
  </si>
  <si>
    <t>By Default All Selected</t>
  </si>
  <si>
    <t xml:space="preserve">Associated Call Disposition -----&gt; {Conversation Status is Visit Done OR Counseling Done} OR
 {Follow up mode contains Branch Visit , Home Visit} </t>
  </si>
  <si>
    <t>Yesterday</t>
  </si>
  <si>
    <t>Associated Call Disposition -----&gt; {Conversation Status is Visit Done}</t>
  </si>
  <si>
    <t>Associated Call Disposition -----&gt; Created at defines X</t>
  </si>
  <si>
    <t>Last 7 Days</t>
  </si>
  <si>
    <t>Lead Bucket (for section 1)</t>
  </si>
  <si>
    <t>AY26 - All Leads</t>
  </si>
  <si>
    <t>Associated Product -----&gt; Term is 2627 OR 2628 OR 2629 OR 2630</t>
  </si>
  <si>
    <t>Last 15 Days</t>
  </si>
  <si>
    <t>Filter (only Section 1 along with filters that are common between 1 and 2)</t>
  </si>
  <si>
    <t>Associated Scholarship------&gt; Exam Type is iACST  + Term is 2627</t>
  </si>
  <si>
    <t>Last 30 Days</t>
  </si>
  <si>
    <t>(1 or 2 or 3 or 4 or 5 ) and 6</t>
  </si>
  <si>
    <t>Associated Scholarship------&gt; Exam Type is ANTHE+ Term is 2526+ Date of Exam is after 1st October 2025</t>
  </si>
  <si>
    <t>Last 90 Days</t>
  </si>
  <si>
    <t>Associated Scholarship------&gt; Exam Type is IAT + Term is 2526+ Date of Exam is after 1st July 2025</t>
  </si>
  <si>
    <t>Lead Created At after 1st November 2026 + No Associated Product or No Associated Scholarship Opportunity</t>
  </si>
  <si>
    <t>Lead ---&gt; Primary Mobile Number not Empty</t>
  </si>
  <si>
    <t>NEET Bulk Uploaded Leads</t>
  </si>
  <si>
    <r>
      <rPr>
        <rFont val="Arial"/>
        <color theme="1"/>
      </rPr>
      <t xml:space="preserve">Associated Product -----&gt; Campaign ----&gt; Campaign Unique Number is 1512 OR 2020 </t>
    </r>
    <r>
      <rPr>
        <rFont val="Arial"/>
        <b/>
        <color theme="1"/>
      </rPr>
      <t>AND</t>
    </r>
    <r>
      <rPr>
        <rFont val="Arial"/>
        <color theme="1"/>
      </rPr>
      <t xml:space="preserve">
Associated Product -----&gt; Created At after 1 May 2026
</t>
    </r>
  </si>
  <si>
    <t>NEET Rank Predictor Leads</t>
  </si>
  <si>
    <r>
      <rPr>
        <rFont val="Arial"/>
        <color theme="1"/>
      </rPr>
      <t xml:space="preserve">Associated Product -----&gt; Source Type ----&gt; NEET RANK College Predictor LP </t>
    </r>
    <r>
      <rPr>
        <rFont val="Arial"/>
        <b/>
        <color theme="1"/>
      </rPr>
      <t>AND</t>
    </r>
    <r>
      <rPr>
        <rFont val="Arial"/>
        <color theme="1"/>
      </rPr>
      <t xml:space="preserve">
Associated Product -----&gt; Created At after 1 May 2026
</t>
    </r>
  </si>
  <si>
    <t>iACST Test Taken</t>
  </si>
  <si>
    <r>
      <rPr>
        <rFont val="Arial"/>
        <color theme="1"/>
      </rPr>
      <t xml:space="preserve">Associated Scholarship------&gt; Exam Type is iACST  + Term is 2627 </t>
    </r>
    <r>
      <rPr>
        <rFont val="Arial"/>
        <b/>
        <color theme="1"/>
      </rPr>
      <t>AND</t>
    </r>
    <r>
      <rPr>
        <rFont val="Arial"/>
        <color theme="1"/>
      </rPr>
      <t xml:space="preserve">
Associated Scholarship-------&gt; Associated Result -------&gt; Eligible Scholarship NOT Empty</t>
    </r>
  </si>
  <si>
    <t>iACST Enrolled + Test  Not Taken</t>
  </si>
  <si>
    <r>
      <rPr>
        <rFont val="Arial"/>
        <color theme="1"/>
      </rPr>
      <t xml:space="preserve">Associated Scholarship------&gt; Exam Type is iACST  + Term is 2627 </t>
    </r>
    <r>
      <rPr>
        <rFont val="Arial"/>
        <b/>
        <color theme="1"/>
      </rPr>
      <t>AND</t>
    </r>
    <r>
      <rPr>
        <rFont val="Arial"/>
        <color theme="1"/>
      </rPr>
      <t xml:space="preserve">
Associated Scholarship-------&gt; Associated Result -------&gt; Eligible Scholarship is Empty</t>
    </r>
  </si>
  <si>
    <t>ANTHE 60%+</t>
  </si>
  <si>
    <r>
      <rPr>
        <rFont val="Arial"/>
        <color theme="1"/>
      </rPr>
      <t xml:space="preserve">Associated Scholarship------&gt; Exam Type is ANTHE+ Term is 2526+ Date of Exam is after 1st October 2025 </t>
    </r>
    <r>
      <rPr>
        <rFont val="Arial"/>
        <b/>
        <color theme="1"/>
      </rPr>
      <t>AND</t>
    </r>
    <r>
      <rPr>
        <rFont val="Arial"/>
        <color theme="1"/>
      </rPr>
      <t xml:space="preserve">
Associated Scholarship-------&gt; Associated Result -------&gt; Eligible Scholarship GREATER than 59</t>
    </r>
  </si>
  <si>
    <r>
      <rPr>
        <rFont val="Arial"/>
        <color theme="1"/>
      </rPr>
      <t xml:space="preserve">Associated Scholarship------&gt; Exam Type is ANTHE+ Term is 2526+ Date of Exam is after 1st October 2025 </t>
    </r>
    <r>
      <rPr>
        <rFont val="Arial"/>
        <b/>
        <color theme="1"/>
      </rPr>
      <t>AND</t>
    </r>
    <r>
      <rPr>
        <rFont val="Arial"/>
        <color theme="1"/>
      </rPr>
      <t xml:space="preserve">
Associated Scholarship-------&gt; Associated Result -------&gt; Eligible Scholarship less than 60</t>
    </r>
  </si>
  <si>
    <t>Total Leads</t>
  </si>
  <si>
    <t>Untouched Lead</t>
  </si>
  <si>
    <t>Follow up Today</t>
  </si>
  <si>
    <r>
      <rPr>
        <rFont val="Arial"/>
        <b/>
        <color theme="1"/>
        <sz val="9.0"/>
      </rPr>
      <t xml:space="preserve">Missed Follow up </t>
    </r>
    <r>
      <rPr>
        <rFont val="Arial"/>
        <b/>
        <color rgb="FFFF0000"/>
        <sz val="9.0"/>
      </rPr>
      <t>AY26</t>
    </r>
  </si>
  <si>
    <t>Future Follow up</t>
  </si>
  <si>
    <t>Whatasapp BOT (in Last 15 Days) + Not Called</t>
  </si>
  <si>
    <t>Visit Scheduled for Today not Done</t>
  </si>
  <si>
    <t>Count of Total Leads</t>
  </si>
  <si>
    <r>
      <rPr>
        <rFont val="Arial"/>
        <color rgb="FFFF0000"/>
        <sz val="9.0"/>
      </rPr>
      <t xml:space="preserve">- {{ Associated Product Term is 26XX (2627,2628,2629,2630) </t>
    </r>
    <r>
      <rPr>
        <rFont val="Arial"/>
        <b/>
        <color rgb="FFFF0000"/>
        <sz val="9.0"/>
      </rPr>
      <t xml:space="preserve">OR </t>
    </r>
    <r>
      <rPr>
        <rFont val="Arial"/>
        <color rgb="FFFF0000"/>
        <sz val="9.0"/>
      </rPr>
      <t xml:space="preserve">Associated Product Created Date is last 90 Days}} </t>
    </r>
    <r>
      <rPr>
        <rFont val="Arial"/>
        <b/>
        <color rgb="FFFF0000"/>
        <sz val="9.0"/>
      </rPr>
      <t>AND</t>
    </r>
    <r>
      <rPr>
        <rFont val="Arial"/>
        <b/>
        <color theme="1"/>
        <sz val="9.0"/>
      </rPr>
      <t xml:space="preserve">
</t>
    </r>
    <r>
      <rPr>
        <rFont val="Arial"/>
        <color theme="1"/>
        <sz val="9.0"/>
      </rPr>
      <t xml:space="preserve">
- Lead Stage - Untouched Lead </t>
    </r>
    <r>
      <rPr>
        <rFont val="Arial"/>
        <b/>
        <color rgb="FF0000FF"/>
        <sz val="9.0"/>
      </rPr>
      <t>AND Type of Lead Selected in Section 1 filter</t>
    </r>
  </si>
  <si>
    <r>
      <rPr>
        <rFont val="Arial"/>
        <color theme="1"/>
        <sz val="9.0"/>
      </rPr>
      <t>- Next Follow up Date is TODAY AND
- Lead Stage is NOT Admission Done,Not Interested,Not Eligible,</t>
    </r>
    <r>
      <rPr>
        <rFont val="Arial"/>
        <b/>
        <color rgb="FF0000FF"/>
        <sz val="9.0"/>
      </rPr>
      <t>Untouched Lead</t>
    </r>
    <r>
      <rPr>
        <rFont val="Arial"/>
        <color theme="1"/>
        <sz val="9.0"/>
      </rPr>
      <t xml:space="preserve">
</t>
    </r>
    <r>
      <rPr>
        <rFont val="Arial"/>
        <b/>
        <color rgb="FF0000FF"/>
        <sz val="9.0"/>
      </rPr>
      <t>AND Type of Lead Selected in Section 1 filter</t>
    </r>
  </si>
  <si>
    <r>
      <rPr>
        <rFont val="Arial"/>
        <color theme="1"/>
        <sz val="9.0"/>
      </rPr>
      <t>- Next Follow up Date before TODAY AND
- Lead Stage is NOT Admission Done,Not Interested,Not Eligible</t>
    </r>
    <r>
      <rPr>
        <rFont val="Arial"/>
        <color rgb="FF0000FF"/>
        <sz val="9.0"/>
      </rPr>
      <t>,</t>
    </r>
    <r>
      <rPr>
        <rFont val="Arial"/>
        <b/>
        <color rgb="FF0000FF"/>
        <sz val="9.0"/>
      </rPr>
      <t xml:space="preserve">Untouched Lead </t>
    </r>
    <r>
      <rPr>
        <rFont val="Arial"/>
        <color theme="1"/>
        <sz val="9.0"/>
      </rPr>
      <t xml:space="preserve">AND
</t>
    </r>
    <r>
      <rPr>
        <rFont val="Arial"/>
        <color rgb="FFFF0000"/>
        <sz val="9.0"/>
      </rPr>
      <t xml:space="preserve">- {{ Associated Product Term is 26XX (2627,2628,2629,2630) OR Associated Product Created Date is last 90 Days}}
</t>
    </r>
    <r>
      <rPr>
        <rFont val="Arial"/>
        <color theme="1"/>
        <sz val="9.0"/>
      </rPr>
      <t xml:space="preserve">
</t>
    </r>
    <r>
      <rPr>
        <rFont val="Arial"/>
        <b/>
        <color rgb="FF0000FF"/>
        <sz val="9.0"/>
      </rPr>
      <t>AND Type of Lead Selected in Section 1 filter</t>
    </r>
  </si>
  <si>
    <t>- Next Follow up Date after TODAY  AND
- Lead Stage is NOT Admission Done,Not Interested,Not Eligible,Untouched Lead 
AND Type of Lead Selected in Section 1 filter</t>
  </si>
  <si>
    <r>
      <rPr>
        <rFont val="Arial"/>
        <color rgb="FF000000"/>
        <sz val="9.0"/>
      </rPr>
      <t xml:space="preserve">- Call Back Date is Last 15 Days </t>
    </r>
    <r>
      <rPr>
        <rFont val="Arial"/>
        <b/>
        <color rgb="FF000000"/>
        <sz val="9.0"/>
      </rPr>
      <t xml:space="preserve">AND
</t>
    </r>
    <r>
      <rPr>
        <rFont val="Arial"/>
        <color rgb="FF000000"/>
        <sz val="9.0"/>
      </rPr>
      <t>- {{ Last Conversation Date Time Lead  BLANK OR Before Call Back Date ]]</t>
    </r>
  </si>
  <si>
    <r>
      <rPr>
        <rFont val="Arial"/>
        <color rgb="FF000000"/>
        <sz val="9.0"/>
      </rPr>
      <t xml:space="preserve">- Branch Visit Scheduled for Date Time (Lead) is TODAY </t>
    </r>
    <r>
      <rPr>
        <rFont val="Arial"/>
        <b/>
        <color rgb="FF000000"/>
        <sz val="9.0"/>
      </rPr>
      <t xml:space="preserve">AND
</t>
    </r>
    <r>
      <rPr>
        <rFont val="Arial"/>
        <color rgb="FF000000"/>
        <sz val="9.0"/>
      </rPr>
      <t>- Last Branch Visit Done Date (Lead) is BLANK or Before TODAY</t>
    </r>
  </si>
  <si>
    <t>Section 2</t>
  </si>
  <si>
    <t>Filter (only Section 2 along with filters that are common between 1 and 2)</t>
  </si>
  <si>
    <t>Scholarship Range</t>
  </si>
  <si>
    <t>Appeared Date</t>
  </si>
  <si>
    <t>Origin</t>
  </si>
  <si>
    <t>Scholarship----&gt;Associated Result --&gt;Eligible Scholarship</t>
  </si>
  <si>
    <t>Scholarship----&gt;Associated Result Created At</t>
  </si>
  <si>
    <t>Digital (API)</t>
  </si>
  <si>
    <t>Form</t>
  </si>
  <si>
    <t>1 to 44%</t>
  </si>
  <si>
    <t>Upload</t>
  </si>
  <si>
    <t>45% to 59%</t>
  </si>
  <si>
    <t>60% to 89%</t>
  </si>
  <si>
    <t>90%+</t>
  </si>
  <si>
    <t>All Scholarship (default)</t>
  </si>
  <si>
    <t>All Time (default)</t>
  </si>
  <si>
    <t>iACST Test Taker (Digital)</t>
  </si>
  <si>
    <t>iACST Test Taker (Self)</t>
  </si>
  <si>
    <t>iACST Test Taker (Bulk)</t>
  </si>
  <si>
    <t>iACST Test Taker (All)</t>
  </si>
  <si>
    <t>iACST Test Taker (Untouched)</t>
  </si>
  <si>
    <t>iACST Test Taker (Follow up DUE)</t>
  </si>
  <si>
    <t>iACST Test Taker (Taken Today)</t>
  </si>
  <si>
    <t>iACST (Scheduled Today Not Taken)</t>
  </si>
  <si>
    <r>
      <rPr>
        <rFont val="Arial"/>
        <color theme="1"/>
      </rPr>
      <t xml:space="preserve">- Associated Scholarship ----&gt; ( Exam Type = iACST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 </t>
    </r>
    <r>
      <rPr>
        <rFont val="Arial"/>
        <b/>
        <color rgb="FF0000FF"/>
      </rPr>
      <t>AND</t>
    </r>
    <r>
      <rPr>
        <rFont val="Arial"/>
        <color theme="1"/>
      </rPr>
      <t xml:space="preserve">
-  Associated Scholarship ---&gt; Origin = API</t>
    </r>
  </si>
  <si>
    <r>
      <rPr>
        <rFont val="Arial"/>
        <color theme="1"/>
      </rPr>
      <t xml:space="preserve">- Associated Scholarship ----&gt; ( Exam Type = iACST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 </t>
    </r>
    <r>
      <rPr>
        <rFont val="Arial"/>
        <b/>
        <color rgb="FF0000FF"/>
      </rPr>
      <t>AND</t>
    </r>
    <r>
      <rPr>
        <rFont val="Arial"/>
        <color theme="1"/>
      </rPr>
      <t xml:space="preserve">
-  Associated Scholarship ---&gt; Origin = Form</t>
    </r>
  </si>
  <si>
    <r>
      <rPr>
        <rFont val="Arial"/>
        <color theme="1"/>
      </rPr>
      <t xml:space="preserve">- Associated Scholarship ----&gt; ( Exam Type = iACST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 </t>
    </r>
    <r>
      <rPr>
        <rFont val="Arial"/>
        <b/>
        <color rgb="FF0000FF"/>
      </rPr>
      <t>AND</t>
    </r>
    <r>
      <rPr>
        <rFont val="Arial"/>
        <color theme="1"/>
      </rPr>
      <t xml:space="preserve">
-  Associated Scholarship ---&gt; Origin = Upload</t>
    </r>
  </si>
  <si>
    <r>
      <rPr>
        <rFont val="Arial"/>
        <color theme="1"/>
      </rPr>
      <t xml:space="preserve">- Associated Scholarship ----&gt; ( Exam Type = iACST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</t>
    </r>
  </si>
  <si>
    <r>
      <rPr>
        <rFont val="Arial"/>
        <color theme="1"/>
      </rPr>
      <t xml:space="preserve">- Associated Scholarship ----&gt; ( Exam Type = iACST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 </t>
    </r>
    <r>
      <rPr>
        <rFont val="Arial"/>
        <b/>
        <color rgb="FF0000FF"/>
      </rPr>
      <t xml:space="preserve">AND
</t>
    </r>
    <r>
      <rPr>
        <rFont val="Arial"/>
        <color theme="1"/>
      </rPr>
      <t>- Lead Stage = Untoched</t>
    </r>
  </si>
  <si>
    <r>
      <rPr>
        <rFont val="Arial"/>
        <color theme="1"/>
      </rPr>
      <t xml:space="preserve">- Associated Scholarship ----&gt; ( Exam Type = iACST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 </t>
    </r>
    <r>
      <rPr>
        <rFont val="Arial"/>
        <b/>
        <color rgb="FF0000FF"/>
      </rPr>
      <t>AND</t>
    </r>
    <r>
      <rPr>
        <rFont val="Arial"/>
        <color theme="1"/>
      </rPr>
      <t xml:space="preserve">
- Next Follow up Date is TODAY or Before TODAY </t>
    </r>
    <r>
      <rPr>
        <rFont val="Arial"/>
        <b/>
        <color rgb="FF0000FF"/>
      </rPr>
      <t>AND</t>
    </r>
    <r>
      <rPr>
        <rFont val="Arial"/>
        <color theme="1"/>
      </rPr>
      <t xml:space="preserve">
- Lead Stage is NOT Admission Done,Not Interested,Not Eligible</t>
    </r>
  </si>
  <si>
    <r>
      <rPr>
        <rFont val="Arial"/>
        <color theme="1"/>
      </rPr>
      <t xml:space="preserve">- Associated Scholarship ----&gt; ( Exam Type = iACST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 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Created At TODAY</t>
    </r>
  </si>
  <si>
    <r>
      <rPr>
        <rFont val="Arial"/>
        <color theme="1"/>
      </rPr>
      <t xml:space="preserve">- Associated Scholarship ----&gt; ( Exam Type = iACST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is Empty 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DATE of EXAM is TODAY</t>
    </r>
  </si>
  <si>
    <t>ANTHE Test Taker (Digital)</t>
  </si>
  <si>
    <t>ANTHE Test Taker (Self)</t>
  </si>
  <si>
    <t>ANTHE Test Taker (Bulk)</t>
  </si>
  <si>
    <t>ANTHE Test Taker (All)</t>
  </si>
  <si>
    <t>ANTHE Test Taker (60%+)</t>
  </si>
  <si>
    <t>ANTHE (Untouched) + Scholarship 60% and Above</t>
  </si>
  <si>
    <t>ANTHE (Follow up Due) + Scholarship 60% and Above</t>
  </si>
  <si>
    <r>
      <rPr>
        <rFont val="Arial"/>
        <color theme="1"/>
      </rPr>
      <t xml:space="preserve">- Associated Scholarship ----&gt; ( Exam Type = ANTHE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 </t>
    </r>
    <r>
      <rPr>
        <rFont val="Arial"/>
        <b/>
        <color rgb="FF0000FF"/>
      </rPr>
      <t>AND</t>
    </r>
    <r>
      <rPr>
        <rFont val="Arial"/>
        <color theme="1"/>
      </rPr>
      <t xml:space="preserve">
-  Associated Scholarship ---&gt; Origin = API</t>
    </r>
  </si>
  <si>
    <r>
      <rPr>
        <rFont val="Arial"/>
        <color theme="1"/>
      </rPr>
      <t xml:space="preserve">- Associated Scholarship ----&gt; ( Exam Type = ANTHE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 </t>
    </r>
    <r>
      <rPr>
        <rFont val="Arial"/>
        <b/>
        <color rgb="FF0000FF"/>
      </rPr>
      <t>AND</t>
    </r>
    <r>
      <rPr>
        <rFont val="Arial"/>
        <color theme="1"/>
      </rPr>
      <t xml:space="preserve">
-  Associated Scholarship ---&gt; Origin = Form</t>
    </r>
  </si>
  <si>
    <r>
      <rPr>
        <rFont val="Arial"/>
        <color theme="1"/>
      </rPr>
      <t xml:space="preserve">- Associated Scholarship ----&gt; ( Exam Type = ANTHE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 </t>
    </r>
    <r>
      <rPr>
        <rFont val="Arial"/>
        <b/>
        <color rgb="FF0000FF"/>
      </rPr>
      <t>AND</t>
    </r>
    <r>
      <rPr>
        <rFont val="Arial"/>
        <color theme="1"/>
      </rPr>
      <t xml:space="preserve">
-  Associated Scholarship ---&gt; Origin = Upload</t>
    </r>
  </si>
  <si>
    <r>
      <rPr>
        <rFont val="Arial"/>
        <color theme="1"/>
      </rPr>
      <t xml:space="preserve">- Associated Scholarship ----&gt; ( Exam Type = ANTHE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Not Empty</t>
    </r>
  </si>
  <si>
    <r>
      <rPr>
        <rFont val="Arial"/>
        <color theme="1"/>
      </rPr>
      <t xml:space="preserve">- Associated Scholarship ----&gt; ( Exam Type = ANTHE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greater than equal to 60</t>
    </r>
  </si>
  <si>
    <r>
      <rPr>
        <rFont val="Arial"/>
        <color theme="1"/>
      </rPr>
      <t xml:space="preserve">- Associated Scholarship ----&gt; ( Exam Type = ANTHE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&gt;= 60%  </t>
    </r>
    <r>
      <rPr>
        <rFont val="Arial"/>
        <b/>
        <color rgb="FF0000FF"/>
      </rPr>
      <t>AND</t>
    </r>
    <r>
      <rPr>
        <rFont val="Arial"/>
        <color theme="1"/>
      </rPr>
      <t xml:space="preserve">
-  Lead Stage = Untoched 
-  
</t>
    </r>
  </si>
  <si>
    <t xml:space="preserve">- Associated Scholarship ----&gt; ( Exam Type = ANTHE + Term = 2627 ) AND
- Associated Scholarship ---&gt; Associated Result ----&gt; Eligible Scholarship &gt;=60% AND
- Lead Stage is NOT Admission Done,Not Interested,Not Eligible AND
- Next Follwup Date is TODAY or Before TODAY </t>
  </si>
  <si>
    <t>ANTHE Test Taker (Below 60%)</t>
  </si>
  <si>
    <t>ANTHE (Untouched) + Scholarship Below 60%</t>
  </si>
  <si>
    <t>ANTHE (Follow up Due) + Scholarship below 60%</t>
  </si>
  <si>
    <r>
      <rPr>
        <rFont val="Arial"/>
        <color theme="1"/>
      </rPr>
      <t xml:space="preserve">- Associated Scholarship ----&gt; ( Exam Type = ANTHE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less than 60</t>
    </r>
  </si>
  <si>
    <r>
      <rPr>
        <rFont val="Arial"/>
        <color theme="1"/>
      </rPr>
      <t xml:space="preserve">- Associated Scholarship ----&gt; ( Exam Type = ANTHE + Term = 2627 ) </t>
    </r>
    <r>
      <rPr>
        <rFont val="Arial"/>
        <b/>
        <color rgb="FF0000FF"/>
      </rPr>
      <t>AND</t>
    </r>
    <r>
      <rPr>
        <rFont val="Arial"/>
        <color theme="1"/>
      </rPr>
      <t xml:space="preserve">
- Associated Scholarship ---&gt; Associated Result ----&gt; Eligible Scholarship &lt; 60%  </t>
    </r>
    <r>
      <rPr>
        <rFont val="Arial"/>
        <b/>
        <color rgb="FF0000FF"/>
      </rPr>
      <t>AND</t>
    </r>
    <r>
      <rPr>
        <rFont val="Arial"/>
        <color theme="1"/>
      </rPr>
      <t xml:space="preserve">
-  Lead Stage = Untoched 
-  
</t>
    </r>
  </si>
  <si>
    <t xml:space="preserve">- Associated Scholarship ----&gt; ( Exam Type = ANTHE + Term = 2627 ) AND
- Associated Scholarship ---&gt; Associated Result ----&gt; Eligible Scholarship &lt; 60% AND
- Lead Stage is NOT Admission Done,Not Interested,Not Eligible AND
- Next Follwup Date is TODAY or Before TODAY </t>
  </si>
  <si>
    <t>RSGH</t>
  </si>
  <si>
    <t>Branch Name</t>
  </si>
  <si>
    <t>Missed Follow up AY26</t>
  </si>
  <si>
    <t>User</t>
  </si>
  <si>
    <t>Section 3</t>
  </si>
  <si>
    <t>Option</t>
  </si>
  <si>
    <t>Show by User Branch</t>
  </si>
  <si>
    <t>Show by User</t>
  </si>
  <si>
    <t>Missed Follow up</t>
  </si>
  <si>
    <t>Untouched Leads</t>
  </si>
  <si>
    <t>Not Connected</t>
  </si>
  <si>
    <t>Call Back</t>
  </si>
  <si>
    <t>Qualified</t>
  </si>
  <si>
    <t>Junk/NI</t>
  </si>
  <si>
    <t>Admissions Done</t>
  </si>
  <si>
    <r>
      <rPr>
        <rFont val="Arial"/>
        <i/>
        <color theme="1"/>
        <sz val="8.0"/>
      </rPr>
      <t xml:space="preserve">- Next Follow up Date before TODAY </t>
    </r>
    <r>
      <rPr>
        <rFont val="Arial"/>
        <b/>
        <i/>
        <color rgb="FF0000FF"/>
        <sz val="8.0"/>
      </rPr>
      <t>AND</t>
    </r>
    <r>
      <rPr>
        <rFont val="Arial"/>
        <i/>
        <color theme="1"/>
        <sz val="8.0"/>
      </rPr>
      <t xml:space="preserve">
- Lead Stage is NOT Admission Done,Not Interested,Not Eligible</t>
    </r>
  </si>
  <si>
    <r>
      <rPr>
        <rFont val="Arial"/>
        <i/>
        <color theme="1"/>
        <sz val="8.0"/>
      </rPr>
      <t xml:space="preserve">- Next Follow up Date is TODAY </t>
    </r>
    <r>
      <rPr>
        <rFont val="Arial"/>
        <b/>
        <i/>
        <color rgb="FF0000FF"/>
        <sz val="8.0"/>
      </rPr>
      <t xml:space="preserve">AND
</t>
    </r>
    <r>
      <rPr>
        <rFont val="Arial"/>
        <i/>
        <color theme="1"/>
        <sz val="8.0"/>
      </rPr>
      <t xml:space="preserve">
- Lead Stage is NOT Admission Done,Not Interested,Not Eligible</t>
    </r>
  </si>
  <si>
    <t>Stage - Untouched</t>
  </si>
  <si>
    <t>Stage - Not Connected</t>
  </si>
  <si>
    <t>Stage - Call Back</t>
  </si>
  <si>
    <t>Stage contains Qualified</t>
  </si>
  <si>
    <t>Stage contains NI,NE</t>
  </si>
  <si>
    <t>Stage - Admission Done</t>
  </si>
  <si>
    <t>Section 2 Filters</t>
  </si>
  <si>
    <t>Type</t>
  </si>
  <si>
    <t>AY26 All Leads</t>
  </si>
  <si>
    <t>iACST Registered Leads</t>
  </si>
  <si>
    <t>iACST Test Takers</t>
  </si>
  <si>
    <t>{{ Associated Product Term is 26XX (2627,2628,2629,2630) OR Associated Product Created Date is last 90 Days}}</t>
  </si>
  <si>
    <t xml:space="preserve">Associated Scholarship ----&gt; ( Exam Type = iACST + Term = 2627 + Roll Number not Empty ) </t>
  </si>
  <si>
    <r>
      <rPr>
        <rFont val="Arial"/>
        <i/>
        <color theme="1"/>
        <sz val="8.0"/>
      </rPr>
      <t xml:space="preserve">Associated Scholarship ----&gt; ( Exam Type = iACST + Term = 2627 )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Scholarship ---&gt; Associated Result ----&gt; Eligible Scholarship Not Empty</t>
    </r>
  </si>
  <si>
    <t xml:space="preserve">ANTHE Test Taker </t>
  </si>
  <si>
    <t>Call Back Leads (Last 15 Days)</t>
  </si>
  <si>
    <t>All Leads (New + Old)</t>
  </si>
  <si>
    <r>
      <rPr>
        <rFont val="Arial"/>
        <i/>
        <color theme="1"/>
        <sz val="8.0"/>
      </rPr>
      <t xml:space="preserve">Associated Scholarship ----&gt; ( Exam Type = ANTHE + Term = 2627 )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Scholarship ---&gt; Associated Result ----&gt; Eligible Scholarship Not Empty</t>
    </r>
  </si>
  <si>
    <t>Call Back Date is Last 15 Days</t>
  </si>
  <si>
    <t>All Leads</t>
  </si>
  <si>
    <t>Not Selected</t>
  </si>
  <si>
    <r>
      <rPr>
        <rFont val="Arial"/>
        <i/>
        <color theme="1"/>
        <sz val="8.0"/>
      </rPr>
      <t xml:space="preserve">Associated Call Disposition -----&gt; {Conversation Status is Visit Done OR Counseling Done} OR {Follow up mode contains Branch Visit , Home Visit}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TODAY</t>
    </r>
  </si>
  <si>
    <r>
      <rPr>
        <rFont val="Arial"/>
        <i/>
        <color theme="1"/>
        <sz val="8.0"/>
      </rPr>
      <t xml:space="preserve">Associated Call Disposition -----&gt; {Conversation Status is Visit Done OR Counseled} OR {Follow up mode contains Branch Visit , Home Visit}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YESTERDAY</t>
    </r>
  </si>
  <si>
    <r>
      <rPr>
        <rFont val="Arial"/>
        <i/>
        <color theme="1"/>
        <sz val="8.0"/>
      </rPr>
      <t xml:space="preserve">Associated Call Disposition -----&gt; {Conversation Status is Visit Done OR Counseled} OR {Follow up mode contains Branch Visit , Home Visit}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last 7 Days</t>
    </r>
  </si>
  <si>
    <r>
      <rPr>
        <rFont val="Arial"/>
        <i/>
        <color theme="1"/>
        <sz val="8.0"/>
      </rPr>
      <t xml:space="preserve">Associated Call Disposition -----&gt; {Conversation Status is Visit Done OR Counseled} OR {Follow up mode contains Branch Visit , Home Visit}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last 30 Days</t>
    </r>
  </si>
  <si>
    <r>
      <rPr>
        <rFont val="Arial"/>
        <i/>
        <color theme="1"/>
        <sz val="8.0"/>
      </rPr>
      <t xml:space="preserve">Associated Call Disposition -----&gt; {Conversation Status is Visit Done OR Counseled} OR {Follow up mode contains Branch Visit , Home Visit}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last 90 Days</t>
    </r>
  </si>
  <si>
    <t>Last 180 Days</t>
  </si>
  <si>
    <r>
      <rPr>
        <rFont val="Arial"/>
        <i/>
        <color theme="1"/>
        <sz val="8.0"/>
      </rPr>
      <t xml:space="preserve">Associated Call Disposition -----&gt; {Conversation Status is Visit Done OR Counseled} OR {Follow up mode contains Branch Visit , Home Visit}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last 180 Days</t>
    </r>
  </si>
  <si>
    <t>Visit Done</t>
  </si>
  <si>
    <t>Associated Call Disposition -----&gt; {Conversation Status is Visit Done} AND
Associated Call Disposition -----&gt; Created at TODAY</t>
  </si>
  <si>
    <r>
      <rPr>
        <rFont val="Arial"/>
        <i/>
        <color theme="1"/>
        <sz val="8.0"/>
      </rPr>
      <t xml:space="preserve">Associated Call Disposition -----&gt; {Conversation Status is Visit Done}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YESTERDAY</t>
    </r>
  </si>
  <si>
    <r>
      <rPr>
        <rFont val="Arial"/>
        <i/>
        <color theme="1"/>
        <sz val="8.0"/>
      </rPr>
      <t xml:space="preserve">Associated Call Disposition -----&gt; {Conversation Status is Visit Done}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last  7 Days</t>
    </r>
  </si>
  <si>
    <r>
      <rPr>
        <rFont val="Arial"/>
        <i/>
        <color theme="1"/>
        <sz val="8.0"/>
      </rPr>
      <t xml:space="preserve">Associated Call Disposition -----&gt; {Conversation Status is Visit Done}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last 30 Days</t>
    </r>
  </si>
  <si>
    <r>
      <rPr>
        <rFont val="Arial"/>
        <i/>
        <color theme="1"/>
        <sz val="8.0"/>
      </rPr>
      <t xml:space="preserve">Associated Call Disposition -----&gt; {Conversation Status is Visit Done}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last 30 Days</t>
    </r>
  </si>
  <si>
    <r>
      <rPr>
        <rFont val="Arial"/>
        <i/>
        <color theme="1"/>
        <sz val="8.0"/>
      </rPr>
      <t xml:space="preserve">Associated Call Disposition -----&gt; {Conversation Status is Visit Done} </t>
    </r>
    <r>
      <rPr>
        <rFont val="Arial"/>
        <b/>
        <i/>
        <color theme="1"/>
        <sz val="8.0"/>
      </rPr>
      <t>AND</t>
    </r>
    <r>
      <rPr>
        <rFont val="Arial"/>
        <i/>
        <color theme="1"/>
        <sz val="8.0"/>
      </rPr>
      <t xml:space="preserve">
Associated Call Disposition -----&gt; Created at last 30 Days</t>
    </r>
  </si>
  <si>
    <t xml:space="preserve">Class </t>
  </si>
  <si>
    <t>Take From Lead</t>
  </si>
  <si>
    <t>Take from iACST Scholarship</t>
  </si>
  <si>
    <t>Take from ANTHE Scholarship</t>
  </si>
  <si>
    <t>Lead Branch</t>
  </si>
  <si>
    <t>Campaign ID</t>
  </si>
  <si>
    <t>Take From Associated Product</t>
  </si>
  <si>
    <t>Source</t>
  </si>
  <si>
    <t>Scholarship %</t>
  </si>
  <si>
    <t>Associated Scholarship ------&gt; Associated Result (Eligible Scholarship)</t>
  </si>
  <si>
    <t>For ANTHE ----ANTHE Scholarship</t>
  </si>
  <si>
    <t>Scholarship Result Date (Test Taker)</t>
  </si>
  <si>
    <t>Associated Scholarship ------&gt; Associated Result (Created At)</t>
  </si>
  <si>
    <t>Scholarship Created At</t>
  </si>
  <si>
    <t>Associated Scholarship ------&gt; (Created At)</t>
  </si>
  <si>
    <t>Course Name</t>
  </si>
  <si>
    <t>From Associated Product</t>
  </si>
  <si>
    <t>Course ID</t>
  </si>
  <si>
    <t>Course Career</t>
  </si>
  <si>
    <t>Course Attribute</t>
  </si>
  <si>
    <t>User Team</t>
  </si>
  <si>
    <t>Lead ----&gt; Owner ----&gt; New Department</t>
  </si>
  <si>
    <t>User RSGH</t>
  </si>
  <si>
    <t>Lead ----&gt; Owner ----&gt; Team Sales Head</t>
  </si>
  <si>
    <t>User TL/Manager</t>
  </si>
  <si>
    <t>Lead ----&gt; Owner ----&gt; Team Supervisor</t>
  </si>
  <si>
    <t>User Branch</t>
  </si>
  <si>
    <t>Lead ----&gt; Owner ----&gt; User Branch Name</t>
  </si>
  <si>
    <t xml:space="preserve">Lead ----&gt; Owner </t>
  </si>
  <si>
    <t>Untouched</t>
  </si>
  <si>
    <t>Whatsaap Bot (Call Back)</t>
  </si>
  <si>
    <t>Visit Scheduled Today - Not Done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</si>
</sst>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CC4125"/>
      <name val="Arial"/>
      <scheme val="minor"/>
    </font>
    <font>
      <b/>
      <color rgb="FFCC0000"/>
      <name val="Arial"/>
      <scheme val="minor"/>
    </font>
    <font>
      <color rgb="FF666666"/>
      <name val="Arial"/>
      <scheme val="minor"/>
    </font>
    <font>
      <i/>
      <sz val="9.0"/>
      <color rgb="FF666666"/>
      <name val="Arial"/>
      <scheme val="minor"/>
    </font>
    <font>
      <color rgb="FF980000"/>
      <name val="Arial"/>
      <scheme val="minor"/>
    </font>
    <font>
      <b/>
      <sz val="9.0"/>
      <color rgb="FF0000FF"/>
      <name val="Arial"/>
      <scheme val="minor"/>
    </font>
    <font>
      <b/>
      <sz val="9.0"/>
      <color theme="1"/>
      <name val="Arial"/>
      <scheme val="minor"/>
    </font>
    <font>
      <sz val="9.0"/>
      <color theme="1"/>
      <name val="Arial"/>
      <scheme val="minor"/>
    </font>
    <font>
      <sz val="9.0"/>
      <color rgb="FF000000"/>
      <name val="Arial"/>
      <scheme val="minor"/>
    </font>
    <font>
      <i/>
      <sz val="9.0"/>
      <color rgb="FF999999"/>
      <name val="Arial"/>
      <scheme val="minor"/>
    </font>
    <font/>
    <font>
      <i/>
      <color theme="1"/>
      <name val="Arial"/>
      <scheme val="minor"/>
    </font>
    <font>
      <i/>
      <sz val="8.0"/>
      <color theme="1"/>
      <name val="Arial"/>
      <scheme val="minor"/>
    </font>
    <font>
      <b/>
      <sz val="12.0"/>
      <color theme="1"/>
      <name val="Arial"/>
      <scheme val="minor"/>
    </font>
    <font>
      <color theme="1"/>
      <name val="Arial"/>
    </font>
    <font>
      <b/>
      <sz val="11.0"/>
      <color theme="1"/>
      <name val="Arial"/>
      <scheme val="minor"/>
    </font>
    <font>
      <i/>
      <sz val="8.0"/>
      <color theme="1"/>
      <name val="Arial"/>
    </font>
    <font>
      <sz val="11.0"/>
      <color theme="1"/>
      <name val="Arial"/>
      <scheme val="minor"/>
    </font>
    <font>
      <b/>
      <i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1" fillId="4" fontId="8" numFmtId="0" xfId="0" applyAlignment="1" applyBorder="1" applyFill="1" applyFont="1">
      <alignment horizontal="center" readingOrder="0" vertical="center"/>
    </xf>
    <xf borderId="1" fillId="4" fontId="9" numFmtId="0" xfId="0" applyAlignment="1" applyBorder="1" applyFont="1">
      <alignment horizontal="center" readingOrder="0" vertical="center"/>
    </xf>
    <xf borderId="1" fillId="4" fontId="9" numFmtId="0" xfId="0" applyAlignment="1" applyBorder="1" applyFont="1">
      <alignment horizontal="center" readingOrder="0" shrinkToFit="0" vertical="center" wrapText="1"/>
    </xf>
    <xf borderId="0" fillId="0" fontId="10" numFmtId="0" xfId="0" applyFont="1"/>
    <xf borderId="0" fillId="0" fontId="10" numFmtId="0" xfId="0" applyAlignment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0" numFmtId="9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1" fillId="4" fontId="1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1"/>
    </xf>
    <xf borderId="1" fillId="4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3" fillId="0" fontId="13" numFmtId="0" xfId="0" applyBorder="1" applyFont="1"/>
    <xf borderId="4" fillId="0" fontId="13" numFmtId="0" xfId="0" applyBorder="1" applyFont="1"/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 vertical="center"/>
    </xf>
    <xf borderId="0" fillId="5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readingOrder="0" vertical="center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18" numFmtId="0" xfId="0" applyAlignment="1" applyFont="1">
      <alignment horizontal="center" readingOrder="0" vertical="center"/>
    </xf>
    <xf borderId="0" fillId="0" fontId="19" numFmtId="0" xfId="0" applyAlignment="1" applyFont="1">
      <alignment horizontal="center"/>
    </xf>
    <xf borderId="0" fillId="0" fontId="15" numFmtId="0" xfId="0" applyAlignment="1" applyFont="1">
      <alignment horizontal="center" vertical="center"/>
    </xf>
    <xf borderId="0" fillId="0" fontId="20" numFmtId="0" xfId="0" applyAlignment="1" applyFont="1">
      <alignment horizontal="center" vertical="center"/>
    </xf>
    <xf borderId="5" fillId="0" fontId="21" numFmtId="0" xfId="0" applyAlignment="1" applyBorder="1" applyFont="1">
      <alignment horizontal="center" readingOrder="0" shrinkToFit="0" vertical="center" wrapText="1"/>
    </xf>
    <xf borderId="6" fillId="0" fontId="13" numFmtId="0" xfId="0" applyBorder="1" applyFont="1"/>
    <xf borderId="7" fillId="0" fontId="13" numFmtId="0" xfId="0" applyBorder="1" applyFont="1"/>
    <xf borderId="5" fillId="0" fontId="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>
  <Task id="{bc3b10dd-63e1-407a-b7d0-6c7446b5091d}">
    <Anchor>
      <Comment id="{4ba814b1-4d49-46b4-8686-db18f19d5707}"/>
    </Anchor>
    <History>
      <Event time="2026-07-08T12:11:15.00" id="{dd732a95-50ca-45dd-83ba-c008e96a62ae}">
        <Attribution userId="placeholder@email.com" userName="Shikhar Singh" userProvider="google-sheets"/>
        <Anchor>
          <Comment id="{4ba814b1-4d49-46b4-8686-db18f19d5707}"/>
        </Anchor>
        <Create/>
      </Event>
      <Event time="2026-07-08T12:11:15.00" id="{e4d0fab5-cd3f-4ff6-9681-4a974a380920}">
        <Attribution userId="placeholder@email.com" userName="Shikhar Singh" userProvider="google-sheets"/>
        <Anchor>
          <Comment id="{4ba814b1-4d49-46b4-8686-db18f19d5707}"/>
        </Anchor>
        <Assign userId="sharad@superleap.com" userName="sharad@superleap.com" userProvider="google-sheets"/>
      </Event>
    </History>
  </Task>
  <Task id="{75c8dbd6-000b-48d3-9ed7-f6c57849c7e9}">
    <Anchor>
      <Comment id="{b5467614-1a1f-4917-9b79-80637deb0dc8}"/>
    </Anchor>
    <History>
      <Event time="2026-07-08T12:11:30.00" id="{2ca96d25-db1d-459a-bd80-9cc719975ec9}">
        <Attribution userId="placeholder@email.com" userName="Shikhar Singh" userProvider="google-sheets"/>
        <Anchor>
          <Comment id="{b5467614-1a1f-4917-9b79-80637deb0dc8}"/>
        </Anchor>
        <Create/>
      </Event>
      <Event time="2026-07-08T12:11:30.00" id="{378f81a6-a373-4b93-9e39-ad8c9eb50d1e}">
        <Attribution userId="placeholder@email.com" userName="Shikhar Singh" userProvider="google-sheets"/>
        <Anchor>
          <Comment id="{b5467614-1a1f-4917-9b79-80637deb0dc8}"/>
        </Anchor>
        <Assign userId="sharad@superleap.com" userName="sharad@superleap.com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harad@superleap.com" id="{3e8f4ba5-f27c-46bf-830b-e2604cae0b54}" userId="sharad@superleap.com" providerId="google-sheets"/>
  <x18tc:person displayName="Shikhar Singh" id="{cdeebbbd-1e93-401b-b0c3-03bd411c4c0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2" dT="2026-07-08T12:11:15.00" personId="{cdeebbbd-1e93-401b-b0c3-03bd411c4c0b}" id="{4ba814b1-4d49-46b4-8686-db18f19d5707}" done="0">
    <x18tc:text xml:space="preserve">@sharad@superleap.com: Add this filter in section 1 and 2 filter section
Assigned to sharad@superleap.com</x18tc:text>
    <x18tc:mentions>
      <x18tc:mention mentionpersonId="{3e8f4ba5-f27c-46bf-830b-e2604cae0b54}" mentionId="{51e8edc8-30ce-4448-ac23-a80019b4e977}" startIndex="0" length="21"/>
    </x18tc:mentions>
  </x18tc:threadedComment>
  <x18tc:threadedComment ref="O2" dT="2026-07-08T12:11:30.00" personId="{cdeebbbd-1e93-401b-b0c3-03bd411c4c0b}" id="{b5467614-1a1f-4917-9b79-80637deb0dc8}" done="0">
    <x18tc:text xml:space="preserve">@sharad@superleap.com
Assigned to sharad@superleap.com</x18tc:text>
    <x18tc:mentions>
      <x18tc:mention mentionpersonId="{3e8f4ba5-f27c-46bf-830b-e2604cae0b54}" mentionId="{fd4db3ba-e37c-4951-acf7-df7b077373ad}" startIndex="0" length="21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4.0"/>
    <col customWidth="1" min="2" max="2" width="45.25"/>
    <col customWidth="1" min="3" max="3" width="64.5"/>
    <col customWidth="1" min="4" max="4" width="27.63"/>
    <col customWidth="1" min="5" max="5" width="35.0"/>
    <col customWidth="1" min="6" max="6" width="41.0"/>
    <col customWidth="1" min="7" max="7" width="31.88"/>
    <col customWidth="1" min="8" max="8" width="29.63"/>
    <col customWidth="1" min="9" max="9" width="41.0"/>
    <col customWidth="1" min="10" max="10" width="23.25"/>
    <col customWidth="1" min="12" max="12" width="41.0"/>
    <col customWidth="1" min="13" max="13" width="53.63"/>
    <col customWidth="1" min="14" max="15" width="41.0"/>
    <col customWidth="1" min="16" max="16" width="66.0"/>
  </cols>
  <sheetData>
    <row r="1">
      <c r="A1" s="1" t="s">
        <v>0</v>
      </c>
      <c r="B1" s="2"/>
      <c r="C1" s="3"/>
      <c r="D1" s="3"/>
      <c r="E1" s="3"/>
      <c r="F1" s="3"/>
      <c r="G1" s="3"/>
      <c r="H1" s="4"/>
      <c r="I1" s="3"/>
      <c r="J1" s="3"/>
      <c r="K1" s="3"/>
      <c r="L1" s="5"/>
      <c r="M1" s="6"/>
      <c r="N1" s="7"/>
      <c r="O1" s="7"/>
      <c r="P1" s="6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4" t="s">
        <v>7</v>
      </c>
      <c r="I2" s="3" t="s">
        <v>8</v>
      </c>
      <c r="J2" s="3" t="s">
        <v>9</v>
      </c>
      <c r="K2" s="3"/>
      <c r="L2" s="5" t="s">
        <v>10</v>
      </c>
      <c r="M2" s="6" t="s">
        <v>11</v>
      </c>
      <c r="N2" s="7"/>
      <c r="O2" s="7" t="s">
        <v>12</v>
      </c>
      <c r="P2" s="6" t="s">
        <v>11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9"/>
      <c r="B3" s="9"/>
      <c r="C3" s="10" t="s">
        <v>13</v>
      </c>
      <c r="D3" s="10" t="s">
        <v>14</v>
      </c>
      <c r="E3" s="10" t="s">
        <v>15</v>
      </c>
      <c r="F3" s="10" t="s">
        <v>16</v>
      </c>
      <c r="G3" s="10" t="s">
        <v>17</v>
      </c>
      <c r="H3" s="11" t="s">
        <v>18</v>
      </c>
      <c r="I3" s="11" t="s">
        <v>19</v>
      </c>
      <c r="J3" s="10" t="s">
        <v>20</v>
      </c>
      <c r="K3" s="9"/>
      <c r="L3" s="8"/>
      <c r="M3" s="12" t="s">
        <v>21</v>
      </c>
      <c r="N3" s="8"/>
      <c r="O3" s="8"/>
      <c r="P3" s="12" t="s">
        <v>21</v>
      </c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8"/>
      <c r="B4" s="8"/>
      <c r="E4" s="8"/>
      <c r="F4" s="8"/>
      <c r="G4" s="8"/>
      <c r="H4" s="2" t="s">
        <v>22</v>
      </c>
      <c r="I4" s="2" t="s">
        <v>23</v>
      </c>
      <c r="J4" s="2" t="s">
        <v>23</v>
      </c>
      <c r="K4" s="8"/>
      <c r="L4" s="13" t="s">
        <v>24</v>
      </c>
      <c r="M4" s="12" t="s">
        <v>25</v>
      </c>
      <c r="N4" s="13"/>
      <c r="O4" s="13" t="s">
        <v>26</v>
      </c>
      <c r="P4" s="12" t="s">
        <v>25</v>
      </c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8"/>
      <c r="B5" s="8"/>
      <c r="E5" s="8"/>
      <c r="F5" s="8"/>
      <c r="G5" s="8"/>
      <c r="H5" s="2"/>
      <c r="I5" s="2"/>
      <c r="J5" s="2"/>
      <c r="K5" s="8"/>
      <c r="L5" s="2" t="s">
        <v>27</v>
      </c>
      <c r="M5" s="12" t="s">
        <v>28</v>
      </c>
      <c r="N5" s="2"/>
      <c r="O5" s="2" t="s">
        <v>27</v>
      </c>
      <c r="P5" s="12" t="s">
        <v>28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>
      <c r="A6" s="2" t="s">
        <v>29</v>
      </c>
      <c r="B6" s="14" t="s">
        <v>30</v>
      </c>
      <c r="C6" s="13" t="s">
        <v>31</v>
      </c>
      <c r="D6" s="2">
        <v>1.0</v>
      </c>
      <c r="E6" s="8"/>
      <c r="H6" s="8"/>
      <c r="K6" s="8"/>
      <c r="L6" s="8"/>
      <c r="M6" s="12" t="s">
        <v>32</v>
      </c>
      <c r="N6" s="8"/>
      <c r="O6" s="8"/>
      <c r="P6" s="12" t="s">
        <v>32</v>
      </c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3" t="s">
        <v>33</v>
      </c>
      <c r="B7" s="8"/>
      <c r="C7" s="2" t="s">
        <v>34</v>
      </c>
      <c r="D7" s="2">
        <v>2.0</v>
      </c>
      <c r="E7" s="8"/>
      <c r="H7" s="8"/>
      <c r="K7" s="8"/>
      <c r="L7" s="8"/>
      <c r="M7" s="12" t="s">
        <v>35</v>
      </c>
      <c r="N7" s="8"/>
      <c r="O7" s="8"/>
      <c r="P7" s="12" t="s">
        <v>35</v>
      </c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>
      <c r="A8" s="2"/>
      <c r="B8" s="2" t="s">
        <v>36</v>
      </c>
      <c r="C8" s="13" t="s">
        <v>37</v>
      </c>
      <c r="D8" s="2">
        <v>3.0</v>
      </c>
      <c r="E8" s="8"/>
      <c r="H8" s="8"/>
      <c r="K8" s="8"/>
      <c r="L8" s="8"/>
      <c r="M8" s="12" t="s">
        <v>38</v>
      </c>
      <c r="N8" s="8"/>
      <c r="O8" s="8"/>
      <c r="P8" s="12" t="s">
        <v>38</v>
      </c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>
      <c r="A9" s="2"/>
      <c r="B9" s="8"/>
      <c r="C9" s="13" t="s">
        <v>39</v>
      </c>
      <c r="D9" s="2">
        <v>4.0</v>
      </c>
      <c r="E9" s="8"/>
      <c r="H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8"/>
      <c r="B10" s="8"/>
      <c r="C10" s="13" t="s">
        <v>40</v>
      </c>
      <c r="D10" s="2">
        <v>5.0</v>
      </c>
      <c r="E10" s="8"/>
      <c r="H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>
      <c r="A11" s="8"/>
      <c r="B11" s="8"/>
      <c r="C11" s="2" t="s">
        <v>41</v>
      </c>
      <c r="D11" s="2">
        <v>6.0</v>
      </c>
      <c r="E11" s="8"/>
      <c r="H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8"/>
      <c r="B12" s="14" t="s">
        <v>42</v>
      </c>
      <c r="C12" s="13" t="s">
        <v>43</v>
      </c>
      <c r="D12" s="8"/>
      <c r="E12" s="8"/>
      <c r="H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>
      <c r="A13" s="8"/>
      <c r="B13" s="14" t="s">
        <v>44</v>
      </c>
      <c r="C13" s="13" t="s">
        <v>45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8"/>
      <c r="B14" s="14" t="s">
        <v>46</v>
      </c>
      <c r="C14" s="13" t="s">
        <v>47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8"/>
      <c r="B15" s="14" t="s">
        <v>48</v>
      </c>
      <c r="C15" s="13" t="s">
        <v>49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8"/>
      <c r="B16" s="14" t="s">
        <v>50</v>
      </c>
      <c r="C16" s="13" t="s">
        <v>51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8"/>
      <c r="B17" s="14" t="s">
        <v>50</v>
      </c>
      <c r="C17" s="13" t="s">
        <v>52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>
      <c r="A19" s="15" t="s">
        <v>53</v>
      </c>
      <c r="B19" s="16" t="s">
        <v>54</v>
      </c>
      <c r="C19" s="16" t="s">
        <v>55</v>
      </c>
      <c r="D19" s="16" t="s">
        <v>56</v>
      </c>
      <c r="E19" s="15" t="s">
        <v>57</v>
      </c>
      <c r="F19" s="17" t="s">
        <v>58</v>
      </c>
      <c r="G19" s="17" t="s">
        <v>59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8"/>
      <c r="B20" s="19"/>
      <c r="C20" s="19"/>
      <c r="D20" s="19"/>
      <c r="E20" s="18"/>
      <c r="F20" s="19"/>
      <c r="G20" s="19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>
      <c r="A21" s="20" t="s">
        <v>60</v>
      </c>
      <c r="B21" s="21" t="s">
        <v>61</v>
      </c>
      <c r="C21" s="21" t="s">
        <v>62</v>
      </c>
      <c r="D21" s="21" t="s">
        <v>63</v>
      </c>
      <c r="E21" s="20" t="s">
        <v>64</v>
      </c>
      <c r="F21" s="22" t="s">
        <v>65</v>
      </c>
      <c r="G21" s="22" t="s">
        <v>66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>
      <c r="A22" s="13"/>
      <c r="B22" s="13"/>
      <c r="C22" s="13"/>
      <c r="D22" s="13"/>
      <c r="E22" s="13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13"/>
      <c r="B23" s="13"/>
      <c r="C23" s="13"/>
      <c r="D23" s="13"/>
      <c r="E23" s="13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23" t="s">
        <v>67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24"/>
      <c r="B25" s="13" t="s">
        <v>68</v>
      </c>
      <c r="C25" s="3" t="s">
        <v>69</v>
      </c>
      <c r="D25" s="3" t="s">
        <v>70</v>
      </c>
      <c r="E25" s="3" t="s">
        <v>71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24"/>
      <c r="B26" s="13"/>
      <c r="C26" s="3"/>
      <c r="D26" s="3"/>
      <c r="E26" s="3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13"/>
      <c r="B27" s="8"/>
      <c r="C27" s="25" t="s">
        <v>72</v>
      </c>
      <c r="D27" s="25" t="s">
        <v>73</v>
      </c>
      <c r="E27" s="2" t="s">
        <v>74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13"/>
      <c r="B28" s="13"/>
      <c r="C28" s="26">
        <v>0.0</v>
      </c>
      <c r="D28" s="27" t="s">
        <v>21</v>
      </c>
      <c r="E28" s="2" t="s">
        <v>75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13"/>
      <c r="B29" s="13"/>
      <c r="C29" s="27" t="s">
        <v>76</v>
      </c>
      <c r="D29" s="27" t="s">
        <v>25</v>
      </c>
      <c r="E29" s="2" t="s">
        <v>77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13"/>
      <c r="B30" s="13"/>
      <c r="C30" s="27" t="s">
        <v>78</v>
      </c>
      <c r="D30" s="27" t="s">
        <v>28</v>
      </c>
      <c r="E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13"/>
      <c r="C31" s="27" t="s">
        <v>79</v>
      </c>
      <c r="D31" s="27" t="s">
        <v>32</v>
      </c>
      <c r="E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27" t="s">
        <v>80</v>
      </c>
      <c r="D32" s="27" t="s">
        <v>35</v>
      </c>
      <c r="E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27" t="s">
        <v>81</v>
      </c>
      <c r="D33" s="27" t="s">
        <v>82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28" t="s">
        <v>83</v>
      </c>
      <c r="B35" s="28" t="s">
        <v>84</v>
      </c>
      <c r="C35" s="28" t="s">
        <v>85</v>
      </c>
      <c r="D35" s="28" t="s">
        <v>86</v>
      </c>
      <c r="E35" s="28" t="s">
        <v>87</v>
      </c>
      <c r="F35" s="28" t="s">
        <v>88</v>
      </c>
      <c r="G35" s="28" t="s">
        <v>89</v>
      </c>
      <c r="H35" s="28" t="s">
        <v>90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29" t="s">
        <v>91</v>
      </c>
      <c r="B37" s="29" t="s">
        <v>92</v>
      </c>
      <c r="C37" s="29" t="s">
        <v>93</v>
      </c>
      <c r="D37" s="29" t="s">
        <v>94</v>
      </c>
      <c r="E37" s="29" t="s">
        <v>95</v>
      </c>
      <c r="F37" s="29" t="s">
        <v>96</v>
      </c>
      <c r="G37" s="29" t="s">
        <v>97</v>
      </c>
      <c r="H37" s="29" t="s">
        <v>98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28" t="s">
        <v>99</v>
      </c>
      <c r="B40" s="28" t="s">
        <v>100</v>
      </c>
      <c r="C40" s="28" t="s">
        <v>101</v>
      </c>
      <c r="D40" s="28" t="s">
        <v>102</v>
      </c>
      <c r="E40" s="28" t="s">
        <v>103</v>
      </c>
      <c r="F40" s="30" t="s">
        <v>104</v>
      </c>
      <c r="G40" s="30" t="s">
        <v>105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31" t="s">
        <v>106</v>
      </c>
      <c r="B41" s="31" t="s">
        <v>107</v>
      </c>
      <c r="C41" s="31" t="s">
        <v>108</v>
      </c>
      <c r="D41" s="31" t="s">
        <v>109</v>
      </c>
      <c r="E41" s="29" t="s">
        <v>110</v>
      </c>
      <c r="F41" s="29" t="s">
        <v>111</v>
      </c>
      <c r="G41" s="29" t="s">
        <v>112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32"/>
      <c r="B42" s="32"/>
      <c r="C42" s="32"/>
      <c r="D42" s="32"/>
      <c r="E42" s="13"/>
      <c r="F42" s="13"/>
      <c r="G42" s="13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32"/>
      <c r="B43" s="32"/>
      <c r="C43" s="32"/>
      <c r="D43" s="32"/>
      <c r="E43" s="28" t="s">
        <v>113</v>
      </c>
      <c r="F43" s="30" t="s">
        <v>114</v>
      </c>
      <c r="G43" s="30" t="s">
        <v>115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33"/>
      <c r="B44" s="33"/>
      <c r="C44" s="33"/>
      <c r="D44" s="33"/>
      <c r="E44" s="29" t="s">
        <v>116</v>
      </c>
      <c r="F44" s="29" t="s">
        <v>117</v>
      </c>
      <c r="G44" s="29" t="s">
        <v>118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2"/>
      <c r="B45" s="2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2"/>
      <c r="B46" s="2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2"/>
      <c r="B47" s="2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2"/>
      <c r="B48" s="2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2"/>
      <c r="B49" s="2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2"/>
      <c r="B50" s="2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34" t="s">
        <v>119</v>
      </c>
      <c r="B51" s="34" t="s">
        <v>120</v>
      </c>
      <c r="C51" s="35" t="s">
        <v>53</v>
      </c>
      <c r="D51" s="35" t="s">
        <v>54</v>
      </c>
      <c r="E51" s="35" t="s">
        <v>55</v>
      </c>
      <c r="F51" s="35" t="s">
        <v>121</v>
      </c>
      <c r="G51" s="35" t="s">
        <v>57</v>
      </c>
      <c r="H51" s="35" t="s">
        <v>58</v>
      </c>
      <c r="I51" s="35" t="s">
        <v>59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F52" s="36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F53" s="36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34" t="s">
        <v>120</v>
      </c>
      <c r="B54" s="34" t="s">
        <v>122</v>
      </c>
      <c r="C54" s="35" t="s">
        <v>53</v>
      </c>
      <c r="D54" s="35" t="s">
        <v>54</v>
      </c>
      <c r="E54" s="35" t="s">
        <v>55</v>
      </c>
      <c r="F54" s="35" t="s">
        <v>121</v>
      </c>
      <c r="G54" s="35" t="s">
        <v>57</v>
      </c>
      <c r="H54" s="35" t="s">
        <v>58</v>
      </c>
      <c r="I54" s="35" t="s">
        <v>59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2"/>
      <c r="B55" s="2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37"/>
      <c r="B56" s="37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>
      <c r="A57" s="2"/>
      <c r="B57" s="2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2"/>
      <c r="B58" s="2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2"/>
      <c r="B59" s="2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23" t="s">
        <v>123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2" t="s">
        <v>124</v>
      </c>
      <c r="B62" s="2" t="s">
        <v>125</v>
      </c>
      <c r="C62" s="2" t="s">
        <v>126</v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28" t="s">
        <v>127</v>
      </c>
      <c r="B64" s="28" t="s">
        <v>55</v>
      </c>
      <c r="C64" s="28" t="s">
        <v>53</v>
      </c>
      <c r="D64" s="28" t="s">
        <v>128</v>
      </c>
      <c r="E64" s="28" t="s">
        <v>129</v>
      </c>
      <c r="F64" s="28" t="s">
        <v>130</v>
      </c>
      <c r="G64" s="28" t="s">
        <v>131</v>
      </c>
      <c r="H64" s="28" t="s">
        <v>132</v>
      </c>
      <c r="I64" s="28" t="s">
        <v>133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39" t="s">
        <v>134</v>
      </c>
      <c r="B65" s="39" t="s">
        <v>135</v>
      </c>
      <c r="C65" s="40" t="str">
        <f>"Add all below cells count"</f>
        <v>Add all below cells count</v>
      </c>
      <c r="D65" s="40" t="s">
        <v>136</v>
      </c>
      <c r="E65" s="40" t="s">
        <v>137</v>
      </c>
      <c r="F65" s="40" t="s">
        <v>138</v>
      </c>
      <c r="G65" s="40" t="s">
        <v>139</v>
      </c>
      <c r="H65" s="40" t="s">
        <v>140</v>
      </c>
      <c r="I65" s="40" t="s">
        <v>141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41" t="s">
        <v>142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42" t="s">
        <v>143</v>
      </c>
      <c r="B69" s="2" t="s">
        <v>144</v>
      </c>
      <c r="C69" s="2" t="s">
        <v>145</v>
      </c>
      <c r="D69" s="2" t="s">
        <v>146</v>
      </c>
      <c r="E69" s="8"/>
      <c r="F69" s="2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39" t="s">
        <v>147</v>
      </c>
      <c r="C70" s="39" t="s">
        <v>148</v>
      </c>
      <c r="D70" s="39" t="s">
        <v>149</v>
      </c>
      <c r="E70" s="8"/>
      <c r="F70" s="2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2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2" t="s">
        <v>150</v>
      </c>
      <c r="C72" s="2" t="s">
        <v>151</v>
      </c>
      <c r="D72" s="2" t="s">
        <v>152</v>
      </c>
      <c r="E72" s="8"/>
      <c r="F72" s="2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39" t="s">
        <v>153</v>
      </c>
      <c r="C73" s="40" t="s">
        <v>154</v>
      </c>
      <c r="D73" s="40" t="s">
        <v>155</v>
      </c>
      <c r="E73" s="8"/>
      <c r="F73" s="2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2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42" t="s">
        <v>131</v>
      </c>
      <c r="B75" s="6" t="s">
        <v>156</v>
      </c>
      <c r="C75" s="43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2" t="s">
        <v>21</v>
      </c>
      <c r="C76" s="39" t="s">
        <v>157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2" t="s">
        <v>25</v>
      </c>
      <c r="C77" s="39" t="s">
        <v>158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2" t="s">
        <v>28</v>
      </c>
      <c r="C78" s="39" t="s">
        <v>159</v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2" t="s">
        <v>35</v>
      </c>
      <c r="C79" s="39" t="s">
        <v>160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2" t="s">
        <v>38</v>
      </c>
      <c r="C80" s="39" t="s">
        <v>161</v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2" t="s">
        <v>162</v>
      </c>
      <c r="C81" s="39" t="s">
        <v>163</v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42" t="s">
        <v>164</v>
      </c>
      <c r="B83" s="6" t="s">
        <v>156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B84" s="2" t="s">
        <v>21</v>
      </c>
      <c r="C84" s="39" t="s">
        <v>165</v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B85" s="2" t="s">
        <v>25</v>
      </c>
      <c r="C85" s="39" t="s">
        <v>166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B86" s="2" t="s">
        <v>28</v>
      </c>
      <c r="C86" s="39" t="s">
        <v>167</v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B87" s="2" t="s">
        <v>35</v>
      </c>
      <c r="C87" s="39" t="s">
        <v>168</v>
      </c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B88" s="2" t="s">
        <v>38</v>
      </c>
      <c r="C88" s="39" t="s">
        <v>169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B89" s="2" t="s">
        <v>162</v>
      </c>
      <c r="C89" s="39" t="s">
        <v>170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B90" s="8"/>
      <c r="C90" s="8"/>
      <c r="D90" s="44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B91" s="8"/>
      <c r="C91" s="8"/>
      <c r="D91" s="44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B92" s="8"/>
      <c r="C92" s="8"/>
      <c r="D92" s="44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45" t="s">
        <v>171</v>
      </c>
      <c r="B93" s="46" t="s">
        <v>144</v>
      </c>
      <c r="C93" s="46" t="s">
        <v>145</v>
      </c>
      <c r="D93" s="46" t="s">
        <v>146</v>
      </c>
      <c r="E93" s="46" t="s">
        <v>150</v>
      </c>
      <c r="F93" s="46" t="s">
        <v>151</v>
      </c>
      <c r="G93" s="46" t="s">
        <v>152</v>
      </c>
      <c r="H93" s="47"/>
      <c r="I93" s="47"/>
      <c r="J93" s="47"/>
      <c r="K93" s="47"/>
      <c r="L93" s="47"/>
      <c r="M93" s="47"/>
      <c r="N93" s="47"/>
      <c r="O93" s="47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48"/>
      <c r="B94" s="40" t="s">
        <v>172</v>
      </c>
      <c r="C94" s="40" t="s">
        <v>173</v>
      </c>
      <c r="D94" s="40" t="s">
        <v>173</v>
      </c>
      <c r="E94" s="40" t="s">
        <v>174</v>
      </c>
      <c r="F94" s="40" t="s">
        <v>172</v>
      </c>
      <c r="G94" s="40" t="s">
        <v>172</v>
      </c>
      <c r="H94" s="47"/>
      <c r="I94" s="47"/>
      <c r="J94" s="47"/>
      <c r="K94" s="47"/>
      <c r="L94" s="47"/>
      <c r="M94" s="47"/>
      <c r="N94" s="47"/>
      <c r="O94" s="47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48"/>
      <c r="B95" s="40"/>
      <c r="C95" s="40"/>
      <c r="D95" s="40"/>
      <c r="E95" s="40"/>
      <c r="F95" s="40"/>
      <c r="G95" s="40"/>
      <c r="H95" s="47"/>
      <c r="I95" s="47"/>
      <c r="J95" s="47"/>
      <c r="K95" s="47"/>
      <c r="L95" s="47"/>
      <c r="M95" s="47"/>
      <c r="N95" s="47"/>
      <c r="O95" s="47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45" t="s">
        <v>175</v>
      </c>
      <c r="B96" s="46" t="s">
        <v>144</v>
      </c>
      <c r="C96" s="46" t="s">
        <v>145</v>
      </c>
      <c r="D96" s="46" t="s">
        <v>146</v>
      </c>
      <c r="E96" s="46" t="s">
        <v>150</v>
      </c>
      <c r="F96" s="46" t="s">
        <v>151</v>
      </c>
      <c r="G96" s="46" t="s">
        <v>152</v>
      </c>
      <c r="H96" s="47"/>
      <c r="I96" s="47"/>
      <c r="J96" s="47"/>
      <c r="K96" s="47"/>
      <c r="L96" s="47"/>
      <c r="M96" s="47"/>
      <c r="N96" s="47"/>
      <c r="O96" s="47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48"/>
      <c r="B97" s="40" t="s">
        <v>172</v>
      </c>
      <c r="C97" s="40" t="s">
        <v>173</v>
      </c>
      <c r="D97" s="40" t="s">
        <v>173</v>
      </c>
      <c r="E97" s="40" t="s">
        <v>174</v>
      </c>
      <c r="F97" s="40" t="s">
        <v>172</v>
      </c>
      <c r="G97" s="40" t="s">
        <v>172</v>
      </c>
      <c r="H97" s="47"/>
      <c r="I97" s="47"/>
      <c r="J97" s="47"/>
      <c r="K97" s="47"/>
      <c r="L97" s="47"/>
      <c r="M97" s="47"/>
      <c r="N97" s="47"/>
      <c r="O97" s="47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48"/>
      <c r="B98" s="40"/>
      <c r="C98" s="40"/>
      <c r="D98" s="40"/>
      <c r="E98" s="40"/>
      <c r="F98" s="40"/>
      <c r="G98" s="40"/>
      <c r="H98" s="47"/>
      <c r="I98" s="47"/>
      <c r="J98" s="47"/>
      <c r="K98" s="47"/>
      <c r="L98" s="47"/>
      <c r="M98" s="47"/>
      <c r="N98" s="47"/>
      <c r="O98" s="47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45" t="s">
        <v>8</v>
      </c>
      <c r="B99" s="40" t="s">
        <v>172</v>
      </c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45" t="s">
        <v>176</v>
      </c>
      <c r="B100" s="40" t="s">
        <v>177</v>
      </c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45" t="s">
        <v>178</v>
      </c>
      <c r="B101" s="40" t="s">
        <v>177</v>
      </c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24" t="s">
        <v>179</v>
      </c>
      <c r="B102" s="40" t="s">
        <v>180</v>
      </c>
      <c r="C102" s="40" t="s">
        <v>181</v>
      </c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24" t="s">
        <v>182</v>
      </c>
      <c r="B103" s="40" t="s">
        <v>183</v>
      </c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24" t="s">
        <v>184</v>
      </c>
      <c r="B104" s="40" t="s">
        <v>185</v>
      </c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24" t="s">
        <v>186</v>
      </c>
      <c r="B105" s="40" t="s">
        <v>187</v>
      </c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24" t="s">
        <v>188</v>
      </c>
      <c r="B106" s="40" t="s">
        <v>187</v>
      </c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24" t="s">
        <v>189</v>
      </c>
      <c r="B107" s="40" t="s">
        <v>187</v>
      </c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24" t="s">
        <v>190</v>
      </c>
      <c r="B108" s="40" t="s">
        <v>187</v>
      </c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24" t="s">
        <v>191</v>
      </c>
      <c r="B109" s="40" t="s">
        <v>192</v>
      </c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24" t="s">
        <v>193</v>
      </c>
      <c r="B110" s="40" t="s">
        <v>194</v>
      </c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24" t="s">
        <v>195</v>
      </c>
      <c r="B111" s="40" t="s">
        <v>196</v>
      </c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24" t="s">
        <v>197</v>
      </c>
      <c r="B112" s="40" t="s">
        <v>198</v>
      </c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24" t="s">
        <v>122</v>
      </c>
      <c r="B113" s="40" t="s">
        <v>199</v>
      </c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</sheetData>
  <mergeCells count="4">
    <mergeCell ref="A41:A44"/>
    <mergeCell ref="B41:B44"/>
    <mergeCell ref="C41:C44"/>
    <mergeCell ref="D41:D4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119</v>
      </c>
      <c r="B1" s="34" t="s">
        <v>120</v>
      </c>
      <c r="C1" s="35" t="s">
        <v>53</v>
      </c>
      <c r="D1" s="35" t="s">
        <v>54</v>
      </c>
      <c r="E1" s="35" t="s">
        <v>55</v>
      </c>
      <c r="F1" s="35" t="s">
        <v>121</v>
      </c>
      <c r="G1" s="35" t="s">
        <v>57</v>
      </c>
      <c r="H1" s="35" t="s">
        <v>58</v>
      </c>
      <c r="I1" s="35" t="s">
        <v>59</v>
      </c>
    </row>
    <row r="2">
      <c r="F2" s="36"/>
      <c r="H2" s="8"/>
      <c r="I2" s="8"/>
    </row>
    <row r="3">
      <c r="F3" s="36"/>
      <c r="H3" s="8"/>
      <c r="I3" s="8"/>
    </row>
    <row r="4">
      <c r="A4" s="34" t="s">
        <v>120</v>
      </c>
      <c r="B4" s="34" t="s">
        <v>122</v>
      </c>
      <c r="C4" s="35" t="s">
        <v>53</v>
      </c>
      <c r="D4" s="35" t="s">
        <v>54</v>
      </c>
      <c r="E4" s="35" t="s">
        <v>55</v>
      </c>
      <c r="F4" s="35" t="s">
        <v>121</v>
      </c>
      <c r="G4" s="35" t="s">
        <v>57</v>
      </c>
      <c r="H4" s="35" t="s">
        <v>58</v>
      </c>
      <c r="I4" s="35" t="s">
        <v>59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4.63"/>
  </cols>
  <sheetData>
    <row r="1">
      <c r="A1" s="2"/>
      <c r="B1" s="2"/>
      <c r="C1" s="2"/>
      <c r="D1" s="2"/>
      <c r="E1" s="2"/>
      <c r="F1" s="49"/>
      <c r="G1" s="50"/>
      <c r="H1" s="51"/>
      <c r="I1" s="24"/>
      <c r="L1" s="52"/>
      <c r="M1" s="50"/>
      <c r="N1" s="51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>
      <c r="A2" s="34" t="s">
        <v>119</v>
      </c>
      <c r="B2" s="34" t="s">
        <v>120</v>
      </c>
      <c r="C2" s="35" t="s">
        <v>200</v>
      </c>
      <c r="D2" s="35" t="s">
        <v>55</v>
      </c>
      <c r="E2" s="35" t="s">
        <v>127</v>
      </c>
      <c r="F2" s="35" t="s">
        <v>201</v>
      </c>
      <c r="G2" s="35" t="s">
        <v>202</v>
      </c>
      <c r="H2" s="34"/>
      <c r="I2" s="35"/>
      <c r="J2" s="35"/>
      <c r="K2" s="34"/>
      <c r="L2" s="35"/>
      <c r="M2" s="35"/>
      <c r="N2" s="34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>
      <c r="F3" s="36"/>
      <c r="L3" s="36"/>
    </row>
    <row r="4">
      <c r="F4" s="36"/>
    </row>
    <row r="5">
      <c r="A5" s="34" t="s">
        <v>120</v>
      </c>
      <c r="B5" s="34" t="s">
        <v>122</v>
      </c>
      <c r="C5" s="35" t="s">
        <v>200</v>
      </c>
      <c r="D5" s="35" t="s">
        <v>55</v>
      </c>
      <c r="E5" s="35" t="s">
        <v>127</v>
      </c>
      <c r="F5" s="35" t="s">
        <v>201</v>
      </c>
      <c r="G5" s="35" t="s">
        <v>202</v>
      </c>
    </row>
  </sheetData>
  <mergeCells count="3">
    <mergeCell ref="F1:H1"/>
    <mergeCell ref="I1:K1"/>
    <mergeCell ref="L1:N1"/>
  </mergeCells>
  <drawing r:id="rId1"/>
</worksheet>
</file>